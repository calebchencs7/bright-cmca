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2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haochen/Documents/Development/bright-cmca/"/>
    </mc:Choice>
  </mc:AlternateContent>
  <xr:revisionPtr revIDLastSave="0" documentId="13_ncr:1_{FD382ACA-38E6-1E40-87B8-87BCDE6C250B}" xr6:coauthVersionLast="47" xr6:coauthVersionMax="47" xr10:uidLastSave="{00000000-0000-0000-0000-000000000000}"/>
  <bookViews>
    <workbookView xWindow="0" yWindow="740" windowWidth="34560" windowHeight="21600" xr2:uid="{B8F4E33D-F53C-1E4C-8A4A-9F6062D9F7BF}"/>
  </bookViews>
  <sheets>
    <sheet name="Unet" sheetId="2" r:id="rId1"/>
    <sheet name="ChangeMamba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7" i="2" l="1"/>
  <c r="D18" i="2"/>
  <c r="D19" i="1"/>
</calcChain>
</file>

<file path=xl/sharedStrings.xml><?xml version="1.0" encoding="utf-8"?>
<sst xmlns="http://schemas.openxmlformats.org/spreadsheetml/2006/main" count="48" uniqueCount="37">
  <si>
    <t>Method</t>
  </si>
  <si>
    <t>F1loc (%)</t>
  </si>
  <si>
    <t>F1clf (%)</t>
  </si>
  <si>
    <t>OA (%)</t>
  </si>
  <si>
    <t>mIoU (%)</t>
  </si>
  <si>
    <t>Background</t>
  </si>
  <si>
    <t>Intact</t>
  </si>
  <si>
    <t>Damaged</t>
  </si>
  <si>
    <t>Destroyed</t>
  </si>
  <si>
    <t>ChangeMamba</t>
  </si>
  <si>
    <t>ChangeMamba + CutMix 0.25</t>
  </si>
  <si>
    <t>ChangeMamba + CutMix 0.3</t>
  </si>
  <si>
    <t>ChangeMamba + DA-CutMix 0.25</t>
  </si>
  <si>
    <t>ChangeMamba + DA-CutMix 0.3</t>
  </si>
  <si>
    <t>ChangeMamba + CA</t>
  </si>
  <si>
    <t>ChangeMamba + CMCA</t>
  </si>
  <si>
    <t>ChangeMamba + CA + CutMix 0.25</t>
  </si>
  <si>
    <t>ChangeMamba + CA + CutMix 0.3</t>
  </si>
  <si>
    <t>ChangeMamba + CMCA + DA-CutMix 0.25</t>
  </si>
  <si>
    <t>ChangeMamba + CMCA + DA-CutMix 0.3</t>
  </si>
  <si>
    <t>UNet</t>
  </si>
  <si>
    <t>UNet + CutMix 0.25</t>
  </si>
  <si>
    <t>UNet + CutMix 0.3</t>
  </si>
  <si>
    <t>UNet + DA-CutMix 0.25</t>
  </si>
  <si>
    <t>UNet + DA-CutMix 0.3</t>
  </si>
  <si>
    <t>UNet + CA</t>
  </si>
  <si>
    <t>UNet + CMCA</t>
  </si>
  <si>
    <t>UNet + CA + CutMix 0.25</t>
  </si>
  <si>
    <t>UNet + CA + CutMix 0.3</t>
  </si>
  <si>
    <t>UNet + CMCA + DA-CutMix 0.25</t>
  </si>
  <si>
    <t>UNet + CMCA + DA-CutMix 0.3</t>
  </si>
  <si>
    <t>66.89-66.87</t>
    <phoneticPr fontId="2" type="noConversion"/>
  </si>
  <si>
    <t>67.43-66.73</t>
    <phoneticPr fontId="2" type="noConversion"/>
  </si>
  <si>
    <t>66.55-64.01</t>
    <phoneticPr fontId="2" type="noConversion"/>
  </si>
  <si>
    <t>66.16-64.74</t>
    <phoneticPr fontId="2" type="noConversion"/>
  </si>
  <si>
    <t>origin</t>
    <phoneticPr fontId="2" type="noConversion"/>
  </si>
  <si>
    <t>seed42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</si>
</sst>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2"/>
      <color theme="1"/>
      <name val="等线"/>
      <family val="2"/>
      <charset val="134"/>
      <scheme val="minor"/>
    </font>
    <font>
      <b/>
      <sz val="12"/>
      <color theme="1"/>
      <name val="等线"/>
      <family val="4"/>
      <charset val="134"/>
      <scheme val="minor"/>
    </font>
    <font>
      <sz val="9"/>
      <name val="等线"/>
      <family val="2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1" fillId="0" borderId="0" xfId="0" applyFont="1">
      <alignment vertical="center"/>
    </xf>
    <xf numFmtId="0" fontId="0" fillId="2" borderId="0" xfId="0" applyFill="1">
      <alignment vertical="center"/>
    </xf>
    <xf numFmtId="0" fontId="0" fillId="3" borderId="0" xfId="0" applyFill="1">
      <alignment vertical="center"/>
    </xf>
    <xf numFmtId="0" fontId="1" fillId="2" borderId="0" xfId="0" applyFont="1" applyFill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C5D565-AE7F-7341-8B6E-855C56487FC2}">
  <dimension ref="A1:I18"/>
  <sheetViews>
    <sheetView tabSelected="1" zoomScale="211" workbookViewId="0">
      <selection activeCell="D18" sqref="D18"/>
    </sheetView>
  </sheetViews>
  <sheetFormatPr baseColWidth="10" defaultRowHeight="16"/>
  <cols>
    <col min="1" max="1" width="31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20</v>
      </c>
      <c r="B2" s="2">
        <v>88.36</v>
      </c>
      <c r="C2" s="2">
        <v>70.16</v>
      </c>
      <c r="D2" s="2">
        <v>95.51</v>
      </c>
      <c r="E2" s="2">
        <v>64.010000000000005</v>
      </c>
      <c r="F2" s="2">
        <v>96.26</v>
      </c>
      <c r="G2" s="2">
        <v>71.88</v>
      </c>
      <c r="H2" s="2">
        <v>38.53</v>
      </c>
      <c r="I2" s="2">
        <v>49.39</v>
      </c>
    </row>
    <row r="3" spans="1:9">
      <c r="A3" s="3" t="s">
        <v>21</v>
      </c>
      <c r="B3" s="3">
        <v>88.5</v>
      </c>
      <c r="C3" s="3">
        <v>71.569999999999993</v>
      </c>
      <c r="D3" s="3">
        <v>95.55</v>
      </c>
      <c r="E3" s="3">
        <v>65.02</v>
      </c>
      <c r="F3" s="3">
        <v>96.29</v>
      </c>
      <c r="G3" s="3">
        <v>72.150000000000006</v>
      </c>
      <c r="H3" s="3">
        <v>38.549999999999997</v>
      </c>
      <c r="I3" s="3">
        <v>53.07</v>
      </c>
    </row>
    <row r="4" spans="1:9">
      <c r="A4" s="3" t="s">
        <v>22</v>
      </c>
      <c r="B4" s="3">
        <v>88.3</v>
      </c>
      <c r="C4" s="3">
        <v>71.25</v>
      </c>
      <c r="D4" s="3">
        <v>95.64</v>
      </c>
      <c r="E4" s="3">
        <v>65.23</v>
      </c>
      <c r="F4" s="3">
        <v>96.26</v>
      </c>
      <c r="G4" s="3">
        <v>72.55</v>
      </c>
      <c r="H4" s="3">
        <v>39.590000000000003</v>
      </c>
      <c r="I4" s="3">
        <v>52.51</v>
      </c>
    </row>
    <row r="5" spans="1:9">
      <c r="A5" s="2" t="s">
        <v>23</v>
      </c>
      <c r="B5" s="2">
        <v>88.2</v>
      </c>
      <c r="C5" s="2">
        <v>69.75</v>
      </c>
      <c r="D5" s="2">
        <v>95.5</v>
      </c>
      <c r="E5" s="2">
        <v>64.11</v>
      </c>
      <c r="F5" s="2">
        <v>96.23</v>
      </c>
      <c r="G5" s="2">
        <v>71.69</v>
      </c>
      <c r="H5" s="2">
        <v>35.93</v>
      </c>
      <c r="I5" s="2">
        <v>52.59</v>
      </c>
    </row>
    <row r="6" spans="1:9">
      <c r="A6" s="2" t="s">
        <v>24</v>
      </c>
      <c r="B6" s="2">
        <v>88.17</v>
      </c>
      <c r="C6" s="2">
        <v>71.88</v>
      </c>
      <c r="D6" s="2">
        <v>95.36</v>
      </c>
      <c r="E6" s="2">
        <v>64.739999999999995</v>
      </c>
      <c r="F6" s="2">
        <v>96.15</v>
      </c>
      <c r="G6" s="2">
        <v>71.17</v>
      </c>
      <c r="H6" s="2">
        <v>38.79</v>
      </c>
      <c r="I6" s="2">
        <v>52.84</v>
      </c>
    </row>
    <row r="7" spans="1:9">
      <c r="A7" s="3" t="s">
        <v>25</v>
      </c>
      <c r="B7" s="3">
        <v>88.26</v>
      </c>
      <c r="C7" s="3">
        <v>72.260000000000005</v>
      </c>
      <c r="D7" s="3">
        <v>95.49</v>
      </c>
      <c r="E7" s="3">
        <v>65.180000000000007</v>
      </c>
      <c r="F7" s="3">
        <v>96.19</v>
      </c>
      <c r="G7" s="3">
        <v>71.959999999999994</v>
      </c>
      <c r="H7" s="3">
        <v>39.19</v>
      </c>
      <c r="I7" s="3">
        <v>53.39</v>
      </c>
    </row>
    <row r="8" spans="1:9">
      <c r="A8" s="2" t="s">
        <v>26</v>
      </c>
      <c r="B8" s="2">
        <v>88.54</v>
      </c>
      <c r="C8" s="2">
        <v>71.180000000000007</v>
      </c>
      <c r="D8" s="2">
        <v>95.69</v>
      </c>
      <c r="E8" s="2">
        <v>65.5</v>
      </c>
      <c r="F8" s="2">
        <v>96.34</v>
      </c>
      <c r="G8" s="2">
        <v>72.739999999999995</v>
      </c>
      <c r="H8" s="2">
        <v>38.56</v>
      </c>
      <c r="I8" s="2">
        <v>54.38</v>
      </c>
    </row>
    <row r="9" spans="1:9">
      <c r="A9" s="3" t="s">
        <v>27</v>
      </c>
      <c r="B9" s="3">
        <v>88.94</v>
      </c>
      <c r="C9" s="3">
        <v>72.3</v>
      </c>
      <c r="D9" s="3">
        <v>95.77</v>
      </c>
      <c r="E9" s="3">
        <v>65.94</v>
      </c>
      <c r="F9" s="3">
        <v>96.47</v>
      </c>
      <c r="G9" s="3">
        <v>73.09</v>
      </c>
      <c r="H9" s="3">
        <v>40.46</v>
      </c>
      <c r="I9" s="3">
        <v>53.75</v>
      </c>
    </row>
    <row r="10" spans="1:9">
      <c r="A10" s="3" t="s">
        <v>28</v>
      </c>
      <c r="B10" s="3">
        <v>88.27</v>
      </c>
      <c r="C10" s="3">
        <v>72.06</v>
      </c>
      <c r="D10" s="3">
        <v>95.43</v>
      </c>
      <c r="E10" s="3">
        <v>64.680000000000007</v>
      </c>
      <c r="F10" s="3">
        <v>96.16</v>
      </c>
      <c r="G10" s="3">
        <v>71.94</v>
      </c>
      <c r="H10" s="3">
        <v>38.54</v>
      </c>
      <c r="I10" s="3">
        <v>52.07</v>
      </c>
    </row>
    <row r="11" spans="1:9">
      <c r="A11" s="2" t="s">
        <v>29</v>
      </c>
      <c r="B11" s="2">
        <v>88.64</v>
      </c>
      <c r="C11" s="2">
        <v>69.41</v>
      </c>
      <c r="D11" s="2">
        <v>95.57</v>
      </c>
      <c r="E11" s="2">
        <v>64.290000000000006</v>
      </c>
      <c r="F11" s="2">
        <v>96.33</v>
      </c>
      <c r="G11" s="2">
        <v>72.11</v>
      </c>
      <c r="H11" s="2">
        <v>35.51</v>
      </c>
      <c r="I11" s="2">
        <v>53.21</v>
      </c>
    </row>
    <row r="12" spans="1:9">
      <c r="A12" s="2" t="s">
        <v>30</v>
      </c>
      <c r="B12" s="4">
        <v>88.96</v>
      </c>
      <c r="C12" s="4">
        <v>73.75</v>
      </c>
      <c r="D12" s="4">
        <v>95.78</v>
      </c>
      <c r="E12" s="4">
        <v>66.55</v>
      </c>
      <c r="F12" s="4">
        <v>96.41</v>
      </c>
      <c r="G12" s="4">
        <v>73.540000000000006</v>
      </c>
      <c r="H12" s="4">
        <v>42.11</v>
      </c>
      <c r="I12" s="4">
        <v>54.15</v>
      </c>
    </row>
    <row r="17" spans="2:4">
      <c r="B17" t="s">
        <v>35</v>
      </c>
      <c r="C17" t="s">
        <v>34</v>
      </c>
      <c r="D17">
        <f>1.42</f>
        <v>1.42</v>
      </c>
    </row>
    <row r="18" spans="2:4">
      <c r="B18" t="s">
        <v>36</v>
      </c>
      <c r="C18" t="s">
        <v>33</v>
      </c>
      <c r="D18">
        <f>E12-E2</f>
        <v>2.539999999999992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3193E2-FD6C-2241-8652-9DD55DBE6994}">
  <dimension ref="A1:I19"/>
  <sheetViews>
    <sheetView zoomScale="206" workbookViewId="0">
      <selection activeCell="D19" sqref="D19"/>
    </sheetView>
  </sheetViews>
  <sheetFormatPr baseColWidth="10" defaultRowHeight="16"/>
  <cols>
    <col min="1" max="1" width="42.33203125" customWidth="1"/>
    <col min="6" max="6" width="13.8320312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>
        <v>90.05</v>
      </c>
      <c r="C2">
        <v>72.900000000000006</v>
      </c>
      <c r="D2">
        <v>95.88</v>
      </c>
      <c r="E2">
        <v>66.87</v>
      </c>
      <c r="F2">
        <v>96.51</v>
      </c>
      <c r="G2">
        <v>73.87</v>
      </c>
      <c r="H2">
        <v>39.56</v>
      </c>
      <c r="I2">
        <v>57.55</v>
      </c>
    </row>
    <row r="3" spans="1:9">
      <c r="A3" t="s">
        <v>10</v>
      </c>
      <c r="B3">
        <v>89.94</v>
      </c>
      <c r="C3">
        <v>74.7</v>
      </c>
      <c r="D3">
        <v>95.93</v>
      </c>
      <c r="E3">
        <v>67.63</v>
      </c>
      <c r="F3">
        <v>96.51</v>
      </c>
      <c r="G3">
        <v>74.17</v>
      </c>
      <c r="H3">
        <v>43.08</v>
      </c>
      <c r="I3">
        <v>56.76</v>
      </c>
    </row>
    <row r="4" spans="1:9">
      <c r="A4" t="s">
        <v>11</v>
      </c>
      <c r="B4">
        <v>90.14</v>
      </c>
      <c r="C4">
        <v>72.12</v>
      </c>
      <c r="D4">
        <v>95.87</v>
      </c>
      <c r="E4">
        <v>66.349999999999994</v>
      </c>
      <c r="F4">
        <v>96.51</v>
      </c>
      <c r="G4">
        <v>73.95</v>
      </c>
      <c r="H4">
        <v>39.93</v>
      </c>
      <c r="I4">
        <v>55.02</v>
      </c>
    </row>
    <row r="5" spans="1:9">
      <c r="A5" t="s">
        <v>12</v>
      </c>
      <c r="B5">
        <v>90.03</v>
      </c>
      <c r="C5">
        <v>73.44</v>
      </c>
      <c r="D5">
        <v>95.87</v>
      </c>
      <c r="E5">
        <v>66.88</v>
      </c>
      <c r="F5">
        <v>96.52</v>
      </c>
      <c r="G5">
        <v>73.7</v>
      </c>
      <c r="H5">
        <v>41.12</v>
      </c>
      <c r="I5">
        <v>56.16</v>
      </c>
    </row>
    <row r="6" spans="1:9">
      <c r="A6" t="s">
        <v>13</v>
      </c>
      <c r="B6">
        <v>89.97</v>
      </c>
      <c r="C6">
        <v>72.150000000000006</v>
      </c>
      <c r="D6">
        <v>95.83</v>
      </c>
      <c r="E6">
        <v>66.53</v>
      </c>
      <c r="F6">
        <v>96.54</v>
      </c>
      <c r="G6">
        <v>73.44</v>
      </c>
      <c r="H6">
        <v>38.450000000000003</v>
      </c>
      <c r="I6">
        <v>57.71</v>
      </c>
    </row>
    <row r="7" spans="1:9">
      <c r="A7" t="s">
        <v>14</v>
      </c>
      <c r="B7">
        <v>90.02</v>
      </c>
      <c r="C7">
        <v>73.459999999999994</v>
      </c>
      <c r="D7">
        <v>95.83</v>
      </c>
      <c r="E7">
        <v>66.819999999999993</v>
      </c>
      <c r="F7">
        <v>96.53</v>
      </c>
      <c r="G7">
        <v>73.38</v>
      </c>
      <c r="H7">
        <v>41.21</v>
      </c>
      <c r="I7">
        <v>56.14</v>
      </c>
    </row>
    <row r="8" spans="1:9">
      <c r="A8" t="s">
        <v>15</v>
      </c>
      <c r="B8">
        <v>90.01</v>
      </c>
      <c r="C8">
        <v>71.319999999999993</v>
      </c>
      <c r="D8">
        <v>95.76</v>
      </c>
      <c r="E8">
        <v>65.930000000000007</v>
      </c>
      <c r="F8">
        <v>96.47</v>
      </c>
      <c r="G8">
        <v>73.34</v>
      </c>
      <c r="H8">
        <v>37.130000000000003</v>
      </c>
      <c r="I8">
        <v>56.79</v>
      </c>
    </row>
    <row r="9" spans="1:9">
      <c r="A9" t="s">
        <v>16</v>
      </c>
      <c r="B9">
        <v>90.17</v>
      </c>
      <c r="C9">
        <v>72.48</v>
      </c>
      <c r="D9">
        <v>95.83</v>
      </c>
      <c r="E9">
        <v>66.09</v>
      </c>
      <c r="F9">
        <v>96.53</v>
      </c>
      <c r="G9">
        <v>73.78</v>
      </c>
      <c r="H9">
        <v>39.520000000000003</v>
      </c>
      <c r="I9">
        <v>54.54</v>
      </c>
    </row>
    <row r="10" spans="1:9">
      <c r="A10" t="s">
        <v>17</v>
      </c>
      <c r="B10">
        <v>90.08</v>
      </c>
      <c r="C10">
        <v>72.8</v>
      </c>
      <c r="D10">
        <v>95.83</v>
      </c>
      <c r="E10">
        <v>66.58</v>
      </c>
      <c r="F10">
        <v>96.53</v>
      </c>
      <c r="G10">
        <v>73.739999999999995</v>
      </c>
      <c r="H10">
        <v>38.65</v>
      </c>
      <c r="I10">
        <v>57.42</v>
      </c>
    </row>
    <row r="11" spans="1:9">
      <c r="A11" t="s">
        <v>18</v>
      </c>
      <c r="B11" s="1">
        <v>90.16</v>
      </c>
      <c r="C11" s="1">
        <v>74.55</v>
      </c>
      <c r="D11" s="1">
        <v>95.94</v>
      </c>
      <c r="E11" s="1">
        <v>67.89</v>
      </c>
      <c r="F11" s="1">
        <v>96.56</v>
      </c>
      <c r="G11" s="1">
        <v>74.14</v>
      </c>
      <c r="H11" s="1">
        <v>42.67</v>
      </c>
      <c r="I11" s="1">
        <v>58.2</v>
      </c>
    </row>
    <row r="12" spans="1:9">
      <c r="A12" t="s">
        <v>19</v>
      </c>
      <c r="B12">
        <v>90.01</v>
      </c>
      <c r="C12">
        <v>73.849999999999994</v>
      </c>
      <c r="D12">
        <v>95.8</v>
      </c>
      <c r="E12">
        <v>66.77</v>
      </c>
      <c r="F12">
        <v>96.51</v>
      </c>
      <c r="G12">
        <v>73.459999999999994</v>
      </c>
      <c r="H12">
        <v>41.89</v>
      </c>
      <c r="I12">
        <v>55.2</v>
      </c>
    </row>
    <row r="18" spans="2:4">
      <c r="B18" t="s">
        <v>35</v>
      </c>
      <c r="C18" t="s">
        <v>32</v>
      </c>
      <c r="D18">
        <v>0.7</v>
      </c>
    </row>
    <row r="19" spans="2:4">
      <c r="B19" t="s">
        <v>36</v>
      </c>
      <c r="C19" t="s">
        <v>31</v>
      </c>
      <c r="D19">
        <f>E11-E2</f>
        <v>1.019999999999996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Unet</vt:lpstr>
      <vt:lpstr>ChangeMamba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hao Chen</dc:creator>
  <cp:lastModifiedBy>hao Chen</cp:lastModifiedBy>
  <dcterms:created xsi:type="dcterms:W3CDTF">2026-09-14T07:13:27Z</dcterms:created>
  <dcterms:modified xsi:type="dcterms:W3CDTF">2026-10-15T07:12:20Z</dcterms:modified>
</cp:coreProperties>
</file>